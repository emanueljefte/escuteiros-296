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ashboard" sheetId="2" state="visible" r:id="rId4"/>
    <sheet name="Ficha Individual" sheetId="3" state="visible" r:id="rId5"/>
  </sheets>
  <definedNames>
    <definedName function="false" hidden="false" localSheetId="0" name="_xlnm.Print_Area" vbProcedure="false">Dados!$A$1:$AI$103</definedName>
    <definedName function="false" hidden="false" localSheetId="1" name="_xlnm.Print_Area" vbProcedure="false">Dashboard!$A$1:$H$49</definedName>
    <definedName function="false" hidden="false" localSheetId="2" name="_xlnm.Print_Area" vbProcedure="false">'Ficha Individual'!$A$1:$F$43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<sst xmlns="http://schemas.openxmlformats.org/spreadsheetml/2006/main" count="197" uniqueCount="134">
  <si>
    <t xml:space="preserve">Nº Inscrição</t>
  </si>
  <si>
    <t xml:space="preserve">Nome completo</t>
  </si>
  <si>
    <t xml:space="preserve">Filho de</t>
  </si>
  <si>
    <t xml:space="preserve">E de</t>
  </si>
  <si>
    <t xml:space="preserve">B.I. Nº</t>
  </si>
  <si>
    <t xml:space="preserve">Cédula Nº</t>
  </si>
  <si>
    <t xml:space="preserve">Morada</t>
  </si>
  <si>
    <t xml:space="preserve">Província</t>
  </si>
  <si>
    <t xml:space="preserve">Município</t>
  </si>
  <si>
    <t xml:space="preserve">Estado civil</t>
  </si>
  <si>
    <t xml:space="preserve">Telefone</t>
  </si>
  <si>
    <t xml:space="preserve">WhatsApp</t>
  </si>
  <si>
    <t xml:space="preserve">Contacto Encarregado</t>
  </si>
  <si>
    <t xml:space="preserve">Data Nascimento</t>
  </si>
  <si>
    <t xml:space="preserve">Idade</t>
  </si>
  <si>
    <t xml:space="preserve">Habilitação Literária</t>
  </si>
  <si>
    <t xml:space="preserve">Profissão</t>
  </si>
  <si>
    <t xml:space="preserve">Escola/Local Trabalho</t>
  </si>
  <si>
    <t xml:space="preserve">Outras Habilidades</t>
  </si>
  <si>
    <t xml:space="preserve">Data/Local Investidura</t>
  </si>
  <si>
    <t xml:space="preserve">Secção</t>
  </si>
  <si>
    <t xml:space="preserve">Bando</t>
  </si>
  <si>
    <t xml:space="preserve">Patrulha</t>
  </si>
  <si>
    <t xml:space="preserve">Equipe</t>
  </si>
  <si>
    <t xml:space="preserve">Cargo</t>
  </si>
  <si>
    <t xml:space="preserve">Baptizado</t>
  </si>
  <si>
    <t xml:space="preserve">Baptizado - Detalhe</t>
  </si>
  <si>
    <t xml:space="preserve">Doença</t>
  </si>
  <si>
    <t xml:space="preserve">Doença - Qual</t>
  </si>
  <si>
    <t xml:space="preserve">Alergia</t>
  </si>
  <si>
    <t xml:space="preserve">Alergia - Qual</t>
  </si>
  <si>
    <t xml:space="preserve">Deficiência</t>
  </si>
  <si>
    <t xml:space="preserve">Deficiência - Qual</t>
  </si>
  <si>
    <t xml:space="preserve">Termo Aceite</t>
  </si>
  <si>
    <t xml:space="preserve">Data Inscrição</t>
  </si>
  <si>
    <t xml:space="preserve">001/2026</t>
  </si>
  <si>
    <t xml:space="preserve">João Manuel dos Santos</t>
  </si>
  <si>
    <t xml:space="preserve">Manuel Santos</t>
  </si>
  <si>
    <t xml:space="preserve">Ana Santos</t>
  </si>
  <si>
    <t xml:space="preserve">003456789LA042</t>
  </si>
  <si>
    <t xml:space="preserve">Rua 1, Cimangola</t>
  </si>
  <si>
    <t xml:space="preserve">Luanda</t>
  </si>
  <si>
    <t xml:space="preserve">Ngola Kiluange</t>
  </si>
  <si>
    <t xml:space="preserve">Solteiro</t>
  </si>
  <si>
    <t xml:space="preserve">923000001</t>
  </si>
  <si>
    <t xml:space="preserve">923000002</t>
  </si>
  <si>
    <t xml:space="preserve">2012-05-14</t>
  </si>
  <si>
    <t xml:space="preserve">8ª Classe</t>
  </si>
  <si>
    <t xml:space="preserve">Estudante</t>
  </si>
  <si>
    <t xml:space="preserve">Escola nº 123</t>
  </si>
  <si>
    <t xml:space="preserve">Futebol</t>
  </si>
  <si>
    <t xml:space="preserve">12/2024 - Luanda</t>
  </si>
  <si>
    <t xml:space="preserve">Exploradores</t>
  </si>
  <si>
    <t xml:space="preserve">Águia</t>
  </si>
  <si>
    <t xml:space="preserve">Falcão</t>
  </si>
  <si>
    <t xml:space="preserve">Guia de Patrulha</t>
  </si>
  <si>
    <t xml:space="preserve">Sim</t>
  </si>
  <si>
    <t xml:space="preserve">Não</t>
  </si>
  <si>
    <t xml:space="preserve">2026-08-31</t>
  </si>
  <si>
    <t xml:space="preserve">002/2026</t>
  </si>
  <si>
    <t xml:space="preserve">Maria Fernanda Pedro</t>
  </si>
  <si>
    <t xml:space="preserve">José Pedro</t>
  </si>
  <si>
    <t xml:space="preserve">Luísa Pedro</t>
  </si>
  <si>
    <t xml:space="preserve">003457890LA043</t>
  </si>
  <si>
    <t xml:space="preserve">Rua 5, Cimangola</t>
  </si>
  <si>
    <t xml:space="preserve">923000003</t>
  </si>
  <si>
    <t xml:space="preserve">923000004</t>
  </si>
  <si>
    <t xml:space="preserve">2011-11-02</t>
  </si>
  <si>
    <t xml:space="preserve">9ª Classe</t>
  </si>
  <si>
    <t xml:space="preserve">Escola nº 45</t>
  </si>
  <si>
    <t xml:space="preserve">Voleibol</t>
  </si>
  <si>
    <t xml:space="preserve">01/2025 - Luanda</t>
  </si>
  <si>
    <t xml:space="preserve">Leão</t>
  </si>
  <si>
    <t xml:space="preserve">Pantera</t>
  </si>
  <si>
    <t xml:space="preserve">Escuteiro</t>
  </si>
  <si>
    <t xml:space="preserve">Asma</t>
  </si>
  <si>
    <t xml:space="preserve">003/2026</t>
  </si>
  <si>
    <t xml:space="preserve">Pedro Miguel Domingos</t>
  </si>
  <si>
    <t xml:space="preserve">Miguel Domingos</t>
  </si>
  <si>
    <t xml:space="preserve">Rita Domingos</t>
  </si>
  <si>
    <t xml:space="preserve">003458901LA044</t>
  </si>
  <si>
    <t xml:space="preserve">Rua 8, Cazenga</t>
  </si>
  <si>
    <t xml:space="preserve">Cazenga</t>
  </si>
  <si>
    <t xml:space="preserve">923000005</t>
  </si>
  <si>
    <t xml:space="preserve">923000006</t>
  </si>
  <si>
    <t xml:space="preserve">2009-03-22</t>
  </si>
  <si>
    <t xml:space="preserve">10ª Classe</t>
  </si>
  <si>
    <t xml:space="preserve">Escola nº 67</t>
  </si>
  <si>
    <t xml:space="preserve">Xadrez</t>
  </si>
  <si>
    <t xml:space="preserve">05/2023 - Luanda</t>
  </si>
  <si>
    <t xml:space="preserve">Pioneiros</t>
  </si>
  <si>
    <t xml:space="preserve">-</t>
  </si>
  <si>
    <t xml:space="preserve">Alfa</t>
  </si>
  <si>
    <t xml:space="preserve">Chefe de Equipe</t>
  </si>
  <si>
    <t xml:space="preserve">Ainda a decidir</t>
  </si>
  <si>
    <t xml:space="preserve">Linhas a amarelo (2-4) são EXEMPLO — substituir/importar os dados reais. Linhas a vermelho-claro indicam escuteiro com doença, alergia ou deficiência registada. Coluna 'Idade' calcula-se automaticamente a partir da Data de Nascimento.</t>
  </si>
  <si>
    <t xml:space="preserve">AGRUPAMENTO Nº296 — SÁBIOS DO ORIENTE</t>
  </si>
  <si>
    <t xml:space="preserve">Dashboard de Cadastramento — Actualizado automaticamente a partir da folha 'Dados'</t>
  </si>
  <si>
    <t xml:space="preserve">INDICADORES-CHAVE</t>
  </si>
  <si>
    <t xml:space="preserve">TOTAL DE INSCRITOS</t>
  </si>
  <si>
    <t xml:space="preserve">IDADE MÉDIA</t>
  </si>
  <si>
    <t xml:space="preserve">TAXA DE BAPTISMO</t>
  </si>
  <si>
    <t xml:space="preserve">COM ALGUMA CONDIÇÃO DE SAÚDE</t>
  </si>
  <si>
    <t xml:space="preserve">SAÚDE E BEM-ESTAR</t>
  </si>
  <si>
    <t xml:space="preserve">Indicador</t>
  </si>
  <si>
    <t xml:space="preserve">Total</t>
  </si>
  <si>
    <t xml:space="preserve">% do Total</t>
  </si>
  <si>
    <t xml:space="preserve">Com Doença Registada</t>
  </si>
  <si>
    <t xml:space="preserve">Com Alergia Registada</t>
  </si>
  <si>
    <t xml:space="preserve">Com Deficiência Registada</t>
  </si>
  <si>
    <t xml:space="preserve">DISTRIBUIÇÃO POR SECÇÃO E MUNICÍPIO</t>
  </si>
  <si>
    <t xml:space="preserve">FAIXA ETÁRIA</t>
  </si>
  <si>
    <t xml:space="preserve">Alcateia</t>
  </si>
  <si>
    <t xml:space="preserve">Faixa</t>
  </si>
  <si>
    <t xml:space="preserve">6-10 anos</t>
  </si>
  <si>
    <t xml:space="preserve">Viana</t>
  </si>
  <si>
    <t xml:space="preserve">11-14 anos</t>
  </si>
  <si>
    <t xml:space="preserve">Caminheiros</t>
  </si>
  <si>
    <t xml:space="preserve">Kilamba Kiaxi</t>
  </si>
  <si>
    <t xml:space="preserve">15-17 anos</t>
  </si>
  <si>
    <t xml:space="preserve">Talatona</t>
  </si>
  <si>
    <t xml:space="preserve">18+ anos</t>
  </si>
  <si>
    <t xml:space="preserve">Nota: as listas de Secção/Município/Faixa Etária servem de referência — ajustar valores conforme os dados reais introduzidos na folha 'Dados'.</t>
  </si>
  <si>
    <t xml:space="preserve">FICHA INDIVIDUAL DO ESCUTEIRO</t>
  </si>
  <si>
    <t xml:space="preserve">Selecionar Nome:</t>
  </si>
  <si>
    <t xml:space="preserve">1. IDENTIFICAÇÃO</t>
  </si>
  <si>
    <t xml:space="preserve">Nome Completo</t>
  </si>
  <si>
    <t xml:space="preserve">Estado Civil</t>
  </si>
  <si>
    <t xml:space="preserve">Data de Nascimento</t>
  </si>
  <si>
    <t xml:space="preserve">2. HABILITAÇÕES</t>
  </si>
  <si>
    <t xml:space="preserve">Escola/Local de Trabalho</t>
  </si>
  <si>
    <t xml:space="preserve">3. DADOS ESCUTISTA E SAÚDE</t>
  </si>
  <si>
    <t xml:space="preserve">Data/Local de Investidura</t>
  </si>
  <si>
    <t xml:space="preserve">Escolha um nome na lista suspensa acima para ver todos os dados desse escuteiro.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</si>
</sst>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&quot; anos&quot;"/>
    <numFmt numFmtId="167" formatCode="0%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651F65"/>
      <name val="Arial"/>
      <family val="0"/>
      <charset val="1"/>
    </font>
    <font>
      <i val="true"/>
      <sz val="10"/>
      <color rgb="FF94949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949495"/>
      <name val="Arial"/>
      <family val="0"/>
      <charset val="1"/>
    </font>
    <font>
      <b val="true"/>
      <sz val="22"/>
      <color rgb="FF651F6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651F65"/>
      <name val="Arial"/>
      <family val="0"/>
      <charset val="1"/>
    </font>
    <font>
      <b val="true"/>
      <sz val="10"/>
      <color rgb="FF651F65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51F65"/>
        <bgColor rgb="FF800080"/>
      </patternFill>
    </fill>
    <fill>
      <patternFill patternType="solid">
        <fgColor rgb="FFFFF2CC"/>
        <bgColor rgb="FFFDE9E9"/>
      </patternFill>
    </fill>
    <fill>
      <patternFill patternType="solid">
        <fgColor rgb="FFF2F0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9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78787"/>
      <rgbColor rgb="FF8A3D8A"/>
      <rgbColor rgb="FFFFF2CC"/>
      <rgbColor rgb="FFF2F0F2"/>
      <rgbColor rgb="FF651F65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DE9E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49495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Inscritos por Secção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Dashboard!$A$22:$A$25</c:f>
              <c:strCache>
                <c:ptCount val="4"/>
                <c:pt idx="0">
                  <c:v>Alcateia</c:v>
                </c:pt>
                <c:pt idx="1">
                  <c:v>Exploradores</c:v>
                </c:pt>
                <c:pt idx="2">
                  <c:v>Pioneiros</c:v>
                </c:pt>
                <c:pt idx="3">
                  <c:v>Caminheiros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5357153"/>
        <c:axId val="22777320"/>
      </c:barChart>
      <c:catAx>
        <c:axId val="35357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77320"/>
        <c:crosses val="autoZero"/>
        <c:auto val="1"/>
        <c:lblAlgn val="ctr"/>
        <c:lblOffset val="100"/>
        <c:noMultiLvlLbl val="0"/>
      </c:catAx>
      <c:valAx>
        <c:axId val="22777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7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Inscritos por Município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Dashboard!$D$22:$D$26</c:f>
              <c:strCache>
                <c:ptCount val="5"/>
                <c:pt idx="0">
                  <c:v>Ngola Kiluange</c:v>
                </c:pt>
                <c:pt idx="1">
                  <c:v>Cazenga</c:v>
                </c:pt>
                <c:pt idx="2">
                  <c:v>Viana</c:v>
                </c:pt>
                <c:pt idx="3">
                  <c:v>Kilamba Kiaxi</c:v>
                </c:pt>
                <c:pt idx="4">
                  <c:v>Talatona</c:v>
                </c:pt>
              </c:strCache>
            </c:strRef>
          </c:cat>
          <c:val>
            <c:numRef>
              <c:f>Dashboard!$E$22:$E$26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2</xdr:col>
      <xdr:colOff>576360</xdr:colOff>
      <xdr:row>40</xdr:row>
      <xdr:rowOff>43200</xdr:rowOff>
    </xdr:to>
    <xdr:graphicFrame>
      <xdr:nvGraphicFramePr>
        <xdr:cNvPr id="0" name="Chart 1"/>
        <xdr:cNvGraphicFramePr/>
      </xdr:nvGraphicFramePr>
      <xdr:xfrm>
        <a:off x="0" y="57056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999000</xdr:colOff>
      <xdr:row>40</xdr:row>
      <xdr:rowOff>43200</xdr:rowOff>
    </xdr:to>
    <xdr:graphicFrame>
      <xdr:nvGraphicFramePr>
        <xdr:cNvPr id="1" name="Chart 2"/>
        <xdr:cNvGraphicFramePr/>
      </xdr:nvGraphicFramePr>
      <xdr:xfrm>
        <a:off x="6343560" y="57056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2" min="10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22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4" min="23" style="0" width="12"/>
    <col collapsed="false" customWidth="true" hidden="false" outlineLevel="0" max="25" min="25" style="0" width="16"/>
    <col collapsed="false" customWidth="true" hidden="false" outlineLevel="0" max="26" min="26" style="0" width="10"/>
    <col collapsed="false" customWidth="true" hidden="false" outlineLevel="0" max="27" min="27" style="0" width="18"/>
    <col collapsed="false" customWidth="true" hidden="false" outlineLevel="0" max="28" min="28" style="0" width="10"/>
    <col collapsed="false" customWidth="true" hidden="false" outlineLevel="0" max="29" min="29" style="0" width="18"/>
    <col collapsed="false" customWidth="true" hidden="false" outlineLevel="0" max="30" min="30" style="0" width="10"/>
    <col collapsed="false" customWidth="true" hidden="false" outlineLevel="0" max="31" min="31" style="0" width="18"/>
    <col collapsed="false" customWidth="true" hidden="false" outlineLevel="0" max="32" min="32" style="0" width="12"/>
    <col collapsed="false" customWidth="true" hidden="false" outlineLevel="0" max="33" min="33" style="0" width="18"/>
    <col collapsed="false" customWidth="true" hidden="false" outlineLevel="0" max="34" min="34" style="0" width="12"/>
    <col collapsed="false" customWidth="true" hidden="false" outlineLevel="0" max="35" min="35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/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44</v>
      </c>
      <c r="M2" s="2" t="s">
        <v>45</v>
      </c>
      <c r="N2" s="2" t="s">
        <v>46</v>
      </c>
      <c r="O2" s="3" t="n">
        <f aca="true">IF(N2="","",DATEDIF(N2,TODAY(),"y"))</f>
        <v>14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/>
      <c r="Y2" s="2" t="s">
        <v>55</v>
      </c>
      <c r="Z2" s="2" t="s">
        <v>56</v>
      </c>
      <c r="AA2" s="2"/>
      <c r="AB2" s="2" t="s">
        <v>57</v>
      </c>
      <c r="AC2" s="2"/>
      <c r="AD2" s="2" t="s">
        <v>57</v>
      </c>
      <c r="AE2" s="2"/>
      <c r="AF2" s="2" t="s">
        <v>57</v>
      </c>
      <c r="AG2" s="2"/>
      <c r="AH2" s="2" t="s">
        <v>56</v>
      </c>
      <c r="AI2" s="2" t="s">
        <v>58</v>
      </c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/>
      <c r="G3" s="2" t="s">
        <v>64</v>
      </c>
      <c r="H3" s="2" t="s">
        <v>41</v>
      </c>
      <c r="I3" s="2" t="s">
        <v>42</v>
      </c>
      <c r="J3" s="2" t="s">
        <v>43</v>
      </c>
      <c r="K3" s="2" t="s">
        <v>65</v>
      </c>
      <c r="L3" s="2" t="s">
        <v>65</v>
      </c>
      <c r="M3" s="2" t="s">
        <v>66</v>
      </c>
      <c r="N3" s="2" t="s">
        <v>67</v>
      </c>
      <c r="O3" s="3" t="n">
        <f aca="true">IF(N3="","",DATEDIF(N3,TODAY(),"y"))</f>
        <v>14</v>
      </c>
      <c r="P3" s="2" t="s">
        <v>68</v>
      </c>
      <c r="Q3" s="2" t="s">
        <v>48</v>
      </c>
      <c r="R3" s="2" t="s">
        <v>69</v>
      </c>
      <c r="S3" s="2" t="s">
        <v>70</v>
      </c>
      <c r="T3" s="2" t="s">
        <v>71</v>
      </c>
      <c r="U3" s="2" t="s">
        <v>52</v>
      </c>
      <c r="V3" s="2" t="s">
        <v>72</v>
      </c>
      <c r="W3" s="2" t="s">
        <v>73</v>
      </c>
      <c r="X3" s="2"/>
      <c r="Y3" s="2" t="s">
        <v>74</v>
      </c>
      <c r="Z3" s="2" t="s">
        <v>56</v>
      </c>
      <c r="AA3" s="2"/>
      <c r="AB3" s="2" t="s">
        <v>56</v>
      </c>
      <c r="AC3" s="2" t="s">
        <v>75</v>
      </c>
      <c r="AD3" s="2" t="s">
        <v>57</v>
      </c>
      <c r="AE3" s="2"/>
      <c r="AF3" s="2" t="s">
        <v>57</v>
      </c>
      <c r="AG3" s="2"/>
      <c r="AH3" s="2" t="s">
        <v>56</v>
      </c>
      <c r="AI3" s="2" t="s">
        <v>58</v>
      </c>
    </row>
    <row r="4" customFormat="false" ht="15" hidden="false" customHeight="false" outlineLevel="0" collapsed="false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/>
      <c r="G4" s="2" t="s">
        <v>81</v>
      </c>
      <c r="H4" s="2" t="s">
        <v>41</v>
      </c>
      <c r="I4" s="2" t="s">
        <v>82</v>
      </c>
      <c r="J4" s="2" t="s">
        <v>43</v>
      </c>
      <c r="K4" s="2" t="s">
        <v>83</v>
      </c>
      <c r="L4" s="2" t="s">
        <v>83</v>
      </c>
      <c r="M4" s="2" t="s">
        <v>84</v>
      </c>
      <c r="N4" s="2" t="s">
        <v>85</v>
      </c>
      <c r="O4" s="3" t="n">
        <f aca="true">IF(N4="","",DATEDIF(N4,TODAY(),"y"))</f>
        <v>17</v>
      </c>
      <c r="P4" s="2" t="s">
        <v>86</v>
      </c>
      <c r="Q4" s="2" t="s">
        <v>48</v>
      </c>
      <c r="R4" s="2" t="s">
        <v>87</v>
      </c>
      <c r="S4" s="2" t="s">
        <v>88</v>
      </c>
      <c r="T4" s="2" t="s">
        <v>89</v>
      </c>
      <c r="U4" s="2" t="s">
        <v>90</v>
      </c>
      <c r="V4" s="2" t="s">
        <v>91</v>
      </c>
      <c r="W4" s="2" t="s">
        <v>91</v>
      </c>
      <c r="X4" s="2" t="s">
        <v>92</v>
      </c>
      <c r="Y4" s="2" t="s">
        <v>93</v>
      </c>
      <c r="Z4" s="2" t="s">
        <v>57</v>
      </c>
      <c r="AA4" s="2" t="s">
        <v>94</v>
      </c>
      <c r="AB4" s="2" t="s">
        <v>57</v>
      </c>
      <c r="AC4" s="2"/>
      <c r="AD4" s="2" t="s">
        <v>57</v>
      </c>
      <c r="AE4" s="2"/>
      <c r="AF4" s="2" t="s">
        <v>57</v>
      </c>
      <c r="AG4" s="2"/>
      <c r="AH4" s="2" t="s">
        <v>56</v>
      </c>
      <c r="AI4" s="2" t="s">
        <v>58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str">
        <f aca="true">IF(N5="","",DATEDIF(N5,TODAY(),"y"))</f>
        <v/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str">
        <f aca="true">IF(N6="","",DATEDIF(N6,TODAY(),"y"))</f>
        <v/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str">
        <f aca="true">IF(N7="","",DATEDIF(N7,TODAY(),"y"))</f>
        <v/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 t="str">
        <f aca="true">IF(N8="","",DATEDIF(N8,TODAY(),"y"))</f>
        <v/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tr">
        <f aca="true">IF(N9="","",DATEDIF(N9,TODAY(),"y"))</f>
        <v/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 t="str">
        <f aca="true">IF(N10="","",DATEDIF(N10,TODAY(),"y"))</f>
        <v/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 t="str">
        <f aca="true">IF(N11="","",DATEDIF(N11,TODAY(),"y"))</f>
        <v/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 t="str">
        <f aca="true">IF(N12="","",DATEDIF(N12,TODAY(),"y"))</f>
        <v/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 t="str">
        <f aca="true">IF(N13="","",DATEDIF(N13,TODAY(),"y"))</f>
        <v/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 t="str">
        <f aca="true">IF(N14="","",DATEDIF(N14,TODAY(),"y"))</f>
        <v/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str">
        <f aca="true">IF(N15="","",DATEDIF(N15,TODAY(),"y"))</f>
        <v/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 t="str">
        <f aca="true">IF(N16="","",DATEDIF(N16,TODAY(),"y"))</f>
        <v/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 t="str">
        <f aca="true">IF(N17="","",DATEDIF(N17,TODAY(),"y"))</f>
        <v/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 t="str">
        <f aca="true">IF(N18="","",DATEDIF(N18,TODAY(),"y"))</f>
        <v/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 t="str">
        <f aca="true">IF(N19="","",DATEDIF(N19,TODAY(),"y"))</f>
        <v/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 t="str">
        <f aca="true">IF(N20="","",DATEDIF(N20,TODAY(),"y"))</f>
        <v/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 t="str">
        <f aca="true">IF(N21="","",DATEDIF(N21,TODAY(),"y"))</f>
        <v/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 t="str">
        <f aca="true">IF(N22="","",DATEDIF(N22,TODAY(),"y"))</f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 t="str">
        <f aca="true">IF(N23="","",DATEDIF(N23,TODAY(),"y"))</f>
        <v/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 t="str">
        <f aca="true">IF(N24="","",DATEDIF(N24,TODAY(),"y"))</f>
        <v/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 t="str">
        <f aca="true">IF(N25="","",DATEDIF(N25,TODAY(),"y"))</f>
        <v/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 t="str">
        <f aca="true">IF(N26="","",DATEDIF(N26,TODAY(),"y"))</f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 t="str">
        <f aca="true">IF(N27="","",DATEDIF(N27,TODAY(),"y"))</f>
        <v/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 t="str">
        <f aca="true">IF(N28="","",DATEDIF(N28,TODAY(),"y"))</f>
        <v/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 t="str">
        <f aca="true">IF(N29="","",DATEDIF(N29,TODAY(),"y"))</f>
        <v/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 t="str">
        <f aca="true">IF(N30="","",DATEDIF(N30,TODAY(),"y"))</f>
        <v/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 t="str">
        <f aca="true">IF(N31="","",DATEDIF(N31,TODAY(),"y"))</f>
        <v/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 t="str">
        <f aca="true">IF(N32="","",DATEDIF(N32,TODAY(),"y"))</f>
        <v/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 t="str">
        <f aca="true">IF(N33="","",DATEDIF(N33,TODAY(),"y"))</f>
        <v/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 t="str">
        <f aca="true">IF(N34="","",DATEDIF(N34,TODAY(),"y"))</f>
        <v/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 t="str">
        <f aca="true">IF(N35="","",DATEDIF(N35,TODAY(),"y"))</f>
        <v/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 t="str">
        <f aca="true">IF(N36="","",DATEDIF(N36,TODAY(),"y"))</f>
        <v/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 t="str">
        <f aca="true">IF(N37="","",DATEDIF(N37,TODAY(),"y"))</f>
        <v/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 t="str">
        <f aca="true">IF(N38="","",DATEDIF(N38,TODAY(),"y"))</f>
        <v/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 t="str">
        <f aca="true">IF(N39="","",DATEDIF(N39,TODAY(),"y"))</f>
        <v/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 t="str">
        <f aca="true">IF(N40="","",DATEDIF(N40,TODAY(),"y"))</f>
        <v/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 t="str">
        <f aca="true">IF(N41="","",DATEDIF(N41,TODAY(),"y"))</f>
        <v/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 t="str">
        <f aca="true">IF(N42="","",DATEDIF(N42,TODAY(),"y"))</f>
        <v/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 t="str">
        <f aca="true">IF(N43="","",DATEDIF(N43,TODAY(),"y"))</f>
        <v/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 t="str">
        <f aca="true">IF(N44="","",DATEDIF(N44,TODAY(),"y"))</f>
        <v/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 t="str">
        <f aca="true">IF(N45="","",DATEDIF(N45,TODAY(),"y"))</f>
        <v/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 t="str">
        <f aca="true">IF(N46="","",DATEDIF(N46,TODAY(),"y"))</f>
        <v/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 t="str">
        <f aca="true">IF(N47="","",DATEDIF(N47,TODAY(),"y"))</f>
        <v/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 t="str">
        <f aca="true">IF(N48="","",DATEDIF(N48,TODAY(),"y"))</f>
        <v/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 t="str">
        <f aca="true">IF(N49="","",DATEDIF(N49,TODAY(),"y"))</f>
        <v/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 t="str">
        <f aca="true">IF(N50="","",DATEDIF(N50,TODAY(),"y"))</f>
        <v/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tr">
        <f aca="true">IF(N51="","",DATEDIF(N51,TODAY(),"y"))</f>
        <v/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 t="str">
        <f aca="true">IF(N52="","",DATEDIF(N52,TODAY(),"y"))</f>
        <v/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 t="str">
        <f aca="true">IF(N53="","",DATEDIF(N53,TODAY(),"y"))</f>
        <v/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 t="str">
        <f aca="true">IF(N54="","",DATEDIF(N54,TODAY(),"y"))</f>
        <v/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 t="str">
        <f aca="true">IF(N55="","",DATEDIF(N55,TODAY(),"y"))</f>
        <v/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 t="str">
        <f aca="true">IF(N56="","",DATEDIF(N56,TODAY(),"y"))</f>
        <v/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 t="str">
        <f aca="true">IF(N57="","",DATEDIF(N57,TODAY(),"y"))</f>
        <v/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 t="str">
        <f aca="true">IF(N58="","",DATEDIF(N58,TODAY(),"y"))</f>
        <v/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 t="str">
        <f aca="true">IF(N59="","",DATEDIF(N59,TODAY(),"y"))</f>
        <v/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 t="str">
        <f aca="true">IF(N60="","",DATEDIF(N60,TODAY(),"y"))</f>
        <v/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 t="str">
        <f aca="true">IF(N61="","",DATEDIF(N61,TODAY(),"y"))</f>
        <v/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 t="str">
        <f aca="true">IF(N62="","",DATEDIF(N62,TODAY(),"y"))</f>
        <v/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 t="str">
        <f aca="true">IF(N63="","",DATEDIF(N63,TODAY(),"y"))</f>
        <v/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 t="str">
        <f aca="true">IF(N64="","",DATEDIF(N64,TODAY(),"y"))</f>
        <v/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 t="str">
        <f aca="true">IF(N65="","",DATEDIF(N65,TODAY(),"y"))</f>
        <v/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 t="str">
        <f aca="true">IF(N66="","",DATEDIF(N66,TODAY(),"y"))</f>
        <v/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 t="str">
        <f aca="true">IF(N67="","",DATEDIF(N67,TODAY(),"y"))</f>
        <v/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 t="str">
        <f aca="true">IF(N68="","",DATEDIF(N68,TODAY(),"y"))</f>
        <v/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 t="str">
        <f aca="true">IF(N69="","",DATEDIF(N69,TODAY(),"y"))</f>
        <v/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 t="str">
        <f aca="true">IF(N70="","",DATEDIF(N70,TODAY(),"y"))</f>
        <v/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 t="str">
        <f aca="true">IF(N71="","",DATEDIF(N71,TODAY(),"y"))</f>
        <v/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 t="str">
        <f aca="true">IF(N72="","",DATEDIF(N72,TODAY(),"y"))</f>
        <v/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 t="str">
        <f aca="true">IF(N73="","",DATEDIF(N73,TODAY(),"y"))</f>
        <v/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 t="str">
        <f aca="true">IF(N74="","",DATEDIF(N74,TODAY(),"y"))</f>
        <v/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 t="str">
        <f aca="true">IF(N75="","",DATEDIF(N75,TODAY(),"y"))</f>
        <v/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 t="str">
        <f aca="true">IF(N76="","",DATEDIF(N76,TODAY(),"y"))</f>
        <v/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 t="str">
        <f aca="true">IF(N77="","",DATEDIF(N77,TODAY(),"y"))</f>
        <v/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 t="str">
        <f aca="true">IF(N78="","",DATEDIF(N78,TODAY(),"y"))</f>
        <v/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 t="str">
        <f aca="true">IF(N79="","",DATEDIF(N79,TODAY(),"y"))</f>
        <v/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 t="str">
        <f aca="true">IF(N80="","",DATEDIF(N80,TODAY(),"y"))</f>
        <v/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 t="str">
        <f aca="true">IF(N81="","",DATEDIF(N81,TODAY(),"y"))</f>
        <v/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 t="str">
        <f aca="true">IF(N82="","",DATEDIF(N82,TODAY(),"y"))</f>
        <v/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 t="str">
        <f aca="true">IF(N83="","",DATEDIF(N83,TODAY(),"y"))</f>
        <v/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 t="str">
        <f aca="true">IF(N84="","",DATEDIF(N84,TODAY(),"y"))</f>
        <v/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 t="str">
        <f aca="true">IF(N85="","",DATEDIF(N85,TODAY(),"y"))</f>
        <v/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 t="str">
        <f aca="true">IF(N86="","",DATEDIF(N86,TODAY(),"y"))</f>
        <v/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 t="str">
        <f aca="true">IF(N87="","",DATEDIF(N87,TODAY(),"y"))</f>
        <v/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 t="str">
        <f aca="true">IF(N88="","",DATEDIF(N88,TODAY(),"y"))</f>
        <v/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 t="str">
        <f aca="true">IF(N89="","",DATEDIF(N89,TODAY(),"y"))</f>
        <v/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 t="str">
        <f aca="true">IF(N90="","",DATEDIF(N90,TODAY(),"y"))</f>
        <v/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 t="str">
        <f aca="true">IF(N91="","",DATEDIF(N91,TODAY(),"y"))</f>
        <v/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 t="str">
        <f aca="true">IF(N92="","",DATEDIF(N92,TODAY(),"y"))</f>
        <v/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 t="str">
        <f aca="true">IF(N93="","",DATEDIF(N93,TODAY(),"y"))</f>
        <v/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 t="str">
        <f aca="true">IF(N94="","",DATEDIF(N94,TODAY(),"y"))</f>
        <v/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 t="str">
        <f aca="true">IF(N95="","",DATEDIF(N95,TODAY(),"y"))</f>
        <v/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 t="str">
        <f aca="true">IF(N96="","",DATEDIF(N96,TODAY(),"y"))</f>
        <v/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 t="str">
        <f aca="true">IF(N97="","",DATEDIF(N97,TODAY(),"y"))</f>
        <v/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 t="str">
        <f aca="true">IF(N98="","",DATEDIF(N98,TODAY(),"y"))</f>
        <v/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 t="str">
        <f aca="true">IF(N99="","",DATEDIF(N99,TODAY(),"y"))</f>
        <v/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 t="str">
        <f aca="true">IF(N100="","",DATEDIF(N100,TODAY(),"y"))</f>
        <v/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 t="str">
        <f aca="true">IF(N101="","",DATEDIF(N101,TODAY(),"y"))</f>
        <v/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 t="str">
        <f aca="true">IF(N102="","",DATEDIF(N102,TODAY(),"y"))</f>
        <v/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 t="str">
        <f aca="true">IF(N103="","",DATEDIF(N103,TODAY(),"y"))</f>
        <v/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6" customFormat="false" ht="15" hidden="false" customHeight="false" outlineLevel="0" collapsed="false">
      <c r="A106" s="6" t="s">
        <v>95</v>
      </c>
      <c r="B106" s="6"/>
      <c r="C106" s="6"/>
      <c r="D106" s="6"/>
      <c r="E106" s="6"/>
      <c r="F106" s="6"/>
      <c r="G106" s="6"/>
      <c r="H106" s="6"/>
      <c r="I106" s="6"/>
      <c r="J106" s="6"/>
    </row>
  </sheetData>
  <mergeCells count="1">
    <mergeCell ref="A106:J106"/>
  </mergeCells>
  <conditionalFormatting sqref="A2:AH103">
    <cfRule type="expression" priority="2" aboveAverage="0" equalAverage="0" bottom="0" percent="0" rank="0" text="" dxfId="0">
      <formula>OR($AB2="Sim",$AD2="Sim",$AF2="Sim")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51F65"/>
    <pageSetUpPr fitToPage="tru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8" min="6" style="0" width="16"/>
  </cols>
  <sheetData>
    <row r="1" customFormat="false" ht="15" hidden="false" customHeight="false" outlineLevel="0" collapsed="false">
      <c r="A1" s="7" t="s">
        <v>96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8" t="s">
        <v>97</v>
      </c>
      <c r="B3" s="8"/>
      <c r="C3" s="8"/>
      <c r="D3" s="8"/>
      <c r="E3" s="8"/>
      <c r="F3" s="8"/>
      <c r="G3" s="8"/>
      <c r="H3" s="8"/>
    </row>
    <row r="5" customFormat="false" ht="21.75" hidden="false" customHeight="true" outlineLevel="0" collapsed="false">
      <c r="A5" s="9" t="s">
        <v>98</v>
      </c>
      <c r="B5" s="9"/>
      <c r="C5" s="9"/>
      <c r="D5" s="9"/>
      <c r="E5" s="9"/>
      <c r="F5" s="9"/>
      <c r="G5" s="9"/>
      <c r="H5" s="9"/>
    </row>
    <row r="7" customFormat="false" ht="15.75" hidden="false" customHeight="true" outlineLevel="0" collapsed="false">
      <c r="A7" s="10" t="s">
        <v>99</v>
      </c>
      <c r="B7" s="10"/>
      <c r="C7" s="10" t="s">
        <v>100</v>
      </c>
      <c r="D7" s="10"/>
      <c r="E7" s="10" t="s">
        <v>101</v>
      </c>
      <c r="F7" s="10"/>
      <c r="G7" s="10" t="s">
        <v>102</v>
      </c>
      <c r="H7" s="10"/>
    </row>
    <row r="8" customFormat="false" ht="30" hidden="false" customHeight="true" outlineLevel="0" collapsed="false">
      <c r="A8" s="11" t="n">
        <f aca="false">COUNTA(Dados!$B$2:$B$103)</f>
        <v>3</v>
      </c>
      <c r="B8" s="11"/>
      <c r="C8" s="12" t="n">
        <f aca="false">ROUND(AVERAGE(Dados!$O$2:$O$103),0)</f>
        <v>15</v>
      </c>
      <c r="D8" s="12"/>
      <c r="E8" s="13" t="n">
        <f aca="false">IFERROR(COUNTIF(Dados!$Z$2:$Z$103,"Sim")/COUNTA(Dados!$B$2:$B$103),0)</f>
        <v>0.666666666666667</v>
      </c>
      <c r="F8" s="13"/>
      <c r="G8" s="11" t="n">
        <f aca="false">SUMPRODUCT(((Dados!$AB$2:$AB$103="Sim")+(Dados!$AD$2:$AD$103="Sim")+(Dados!$AF$2:$AF$103="Sim"))&gt;0)</f>
        <v>1</v>
      </c>
      <c r="H8" s="11"/>
    </row>
    <row r="9" customFormat="false" ht="15.75" hidden="false" customHeight="true" outlineLevel="0" collapsed="false">
      <c r="A9" s="11"/>
      <c r="B9" s="11"/>
      <c r="C9" s="12"/>
      <c r="D9" s="12"/>
      <c r="E9" s="13"/>
      <c r="F9" s="13"/>
      <c r="G9" s="11"/>
      <c r="H9" s="11"/>
    </row>
    <row r="10" customFormat="false" ht="15.75" hidden="false" customHeight="true" outlineLevel="0" collapsed="false"/>
    <row r="12" customFormat="false" ht="21.75" hidden="false" customHeight="true" outlineLevel="0" collapsed="false">
      <c r="A12" s="9" t="s">
        <v>103</v>
      </c>
      <c r="B12" s="9"/>
      <c r="C12" s="9"/>
      <c r="D12" s="9"/>
      <c r="E12" s="9"/>
      <c r="F12" s="9"/>
      <c r="G12" s="9"/>
      <c r="H12" s="9"/>
    </row>
    <row r="14" customFormat="false" ht="15" hidden="false" customHeight="false" outlineLevel="0" collapsed="false">
      <c r="A14" s="14" t="s">
        <v>104</v>
      </c>
      <c r="B14" s="14" t="s">
        <v>105</v>
      </c>
      <c r="C14" s="14" t="s">
        <v>106</v>
      </c>
    </row>
    <row r="15" customFormat="false" ht="15" hidden="false" customHeight="false" outlineLevel="0" collapsed="false">
      <c r="A15" s="15" t="s">
        <v>107</v>
      </c>
      <c r="B15" s="16" t="n">
        <f aca="false">COUNTIF(Dados!$AB$2:$AB$103,"Sim")</f>
        <v>1</v>
      </c>
      <c r="C15" s="17" t="n">
        <f aca="false">IFERROR(B15/COUNTA(Dados!$B$2:$B$103),0)</f>
        <v>0.333333333333333</v>
      </c>
    </row>
    <row r="16" customFormat="false" ht="15" hidden="false" customHeight="false" outlineLevel="0" collapsed="false">
      <c r="A16" s="15" t="s">
        <v>108</v>
      </c>
      <c r="B16" s="16" t="n">
        <f aca="false">COUNTIF(Dados!$AD$2:$AD$103,"Sim")</f>
        <v>0</v>
      </c>
      <c r="C16" s="17" t="n">
        <f aca="false">IFERROR(B16/COUNTA(Dados!$B$2:$B$103),0)</f>
        <v>0</v>
      </c>
    </row>
    <row r="17" customFormat="false" ht="15" hidden="false" customHeight="false" outlineLevel="0" collapsed="false">
      <c r="A17" s="15" t="s">
        <v>109</v>
      </c>
      <c r="B17" s="16" t="n">
        <f aca="false">COUNTIF(Dados!$AF$2:$AF$103,"Sim")</f>
        <v>0</v>
      </c>
      <c r="C17" s="17" t="n">
        <f aca="false">IFERROR(B17/COUNTA(Dados!$B$2:$B$103),0)</f>
        <v>0</v>
      </c>
    </row>
    <row r="19" customFormat="false" ht="21.75" hidden="false" customHeight="true" outlineLevel="0" collapsed="false">
      <c r="A19" s="9" t="s">
        <v>110</v>
      </c>
      <c r="B19" s="9"/>
      <c r="C19" s="9"/>
      <c r="D19" s="9"/>
      <c r="E19" s="9"/>
      <c r="F19" s="9"/>
      <c r="G19" s="9"/>
      <c r="H19" s="9"/>
    </row>
    <row r="21" customFormat="false" ht="21.75" hidden="false" customHeight="true" outlineLevel="0" collapsed="false">
      <c r="A21" s="14" t="s">
        <v>20</v>
      </c>
      <c r="B21" s="14" t="s">
        <v>105</v>
      </c>
      <c r="D21" s="14" t="s">
        <v>8</v>
      </c>
      <c r="E21" s="14" t="s">
        <v>105</v>
      </c>
      <c r="G21" s="9" t="s">
        <v>111</v>
      </c>
      <c r="H21" s="9"/>
    </row>
    <row r="22" customFormat="false" ht="15" hidden="false" customHeight="false" outlineLevel="0" collapsed="false">
      <c r="A22" s="15" t="s">
        <v>112</v>
      </c>
      <c r="B22" s="16" t="n">
        <f aca="false">COUNTIF(Dados!$U$2:$U$103,$A22)</f>
        <v>0</v>
      </c>
      <c r="D22" s="15" t="s">
        <v>42</v>
      </c>
      <c r="E22" s="16" t="n">
        <f aca="false">COUNTIF(Dados!$I$2:$I$103,$D22)</f>
        <v>2</v>
      </c>
      <c r="G22" s="18" t="s">
        <v>113</v>
      </c>
      <c r="H22" s="18" t="s">
        <v>105</v>
      </c>
    </row>
    <row r="23" customFormat="false" ht="15" hidden="false" customHeight="false" outlineLevel="0" collapsed="false">
      <c r="A23" s="15" t="s">
        <v>52</v>
      </c>
      <c r="B23" s="16" t="n">
        <f aca="false">COUNTIF(Dados!$U$2:$U$103,$A23)</f>
        <v>2</v>
      </c>
      <c r="D23" s="15" t="s">
        <v>82</v>
      </c>
      <c r="E23" s="16" t="n">
        <f aca="false">COUNTIF(Dados!$I$2:$I$103,$D23)</f>
        <v>1</v>
      </c>
      <c r="G23" s="19" t="s">
        <v>114</v>
      </c>
      <c r="H23" s="20" t="n">
        <f aca="false">COUNTIFS(Dados!$O$2:$O$103,"&gt;="&amp;6,Dados!$O$2:$O$103,"&lt;="&amp;10)</f>
        <v>0</v>
      </c>
    </row>
    <row r="24" customFormat="false" ht="15" hidden="false" customHeight="false" outlineLevel="0" collapsed="false">
      <c r="A24" s="15" t="s">
        <v>90</v>
      </c>
      <c r="B24" s="16" t="n">
        <f aca="false">COUNTIF(Dados!$U$2:$U$103,$A24)</f>
        <v>1</v>
      </c>
      <c r="D24" s="15" t="s">
        <v>115</v>
      </c>
      <c r="E24" s="16" t="n">
        <f aca="false">COUNTIF(Dados!$I$2:$I$103,$D24)</f>
        <v>0</v>
      </c>
      <c r="G24" s="19" t="s">
        <v>116</v>
      </c>
      <c r="H24" s="20" t="n">
        <f aca="false">COUNTIFS(Dados!$O$2:$O$103,"&gt;="&amp;11,Dados!$O$2:$O$103,"&lt;="&amp;14)</f>
        <v>2</v>
      </c>
    </row>
    <row r="25" customFormat="false" ht="15" hidden="false" customHeight="false" outlineLevel="0" collapsed="false">
      <c r="A25" s="15" t="s">
        <v>117</v>
      </c>
      <c r="B25" s="16" t="n">
        <f aca="false">COUNTIF(Dados!$U$2:$U$103,$A25)</f>
        <v>0</v>
      </c>
      <c r="D25" s="15" t="s">
        <v>118</v>
      </c>
      <c r="E25" s="16" t="n">
        <f aca="false">COUNTIF(Dados!$I$2:$I$103,$D25)</f>
        <v>0</v>
      </c>
      <c r="G25" s="19" t="s">
        <v>119</v>
      </c>
      <c r="H25" s="20" t="n">
        <f aca="false">COUNTIFS(Dados!$O$2:$O$103,"&gt;="&amp;15,Dados!$O$2:$O$103,"&lt;="&amp;17)</f>
        <v>1</v>
      </c>
    </row>
    <row r="26" customFormat="false" ht="15" hidden="false" customHeight="false" outlineLevel="0" collapsed="false">
      <c r="D26" s="15" t="s">
        <v>120</v>
      </c>
      <c r="E26" s="16" t="n">
        <f aca="false">COUNTIF(Dados!$I$2:$I$103,$D26)</f>
        <v>0</v>
      </c>
      <c r="G26" s="19" t="s">
        <v>121</v>
      </c>
      <c r="H26" s="20" t="n">
        <f aca="false">COUNTIFS(Dados!$O$2:$O$103,"&gt;="&amp;18,Dados!$O$2:$O$103,"&lt;="&amp;99)</f>
        <v>0</v>
      </c>
    </row>
    <row r="48" customFormat="false" ht="15" hidden="false" customHeight="false" outlineLevel="0" collapsed="false">
      <c r="A48" s="6" t="s">
        <v>122</v>
      </c>
      <c r="B48" s="6"/>
      <c r="C48" s="6"/>
      <c r="D48" s="6"/>
      <c r="E48" s="6"/>
      <c r="F48" s="6"/>
      <c r="G48" s="6"/>
      <c r="H48" s="6"/>
    </row>
  </sheetData>
  <mergeCells count="15">
    <mergeCell ref="A1:H2"/>
    <mergeCell ref="A3:H3"/>
    <mergeCell ref="A5:H5"/>
    <mergeCell ref="A7:B7"/>
    <mergeCell ref="C7:D7"/>
    <mergeCell ref="E7:F7"/>
    <mergeCell ref="G7:H7"/>
    <mergeCell ref="A8:B9"/>
    <mergeCell ref="C8:D9"/>
    <mergeCell ref="E8:F9"/>
    <mergeCell ref="G8:H9"/>
    <mergeCell ref="A12:H12"/>
    <mergeCell ref="A19:H19"/>
    <mergeCell ref="G21:H21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3D8A"/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21" t="s">
        <v>123</v>
      </c>
      <c r="B1" s="21"/>
      <c r="C1" s="21"/>
      <c r="D1" s="21"/>
      <c r="E1" s="21"/>
      <c r="F1" s="21"/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</row>
    <row r="4" customFormat="false" ht="15" hidden="false" customHeight="false" outlineLevel="0" collapsed="false">
      <c r="A4" s="22" t="s">
        <v>124</v>
      </c>
      <c r="B4" s="23" t="s">
        <v>36</v>
      </c>
      <c r="C4" s="23"/>
      <c r="D4" s="23"/>
    </row>
    <row r="6" customFormat="false" ht="21.75" hidden="false" customHeight="true" outlineLevel="0" collapsed="false">
      <c r="A6" s="9" t="s">
        <v>125</v>
      </c>
      <c r="B6" s="9"/>
      <c r="C6" s="9"/>
      <c r="D6" s="9"/>
      <c r="E6" s="9"/>
      <c r="F6" s="9"/>
    </row>
    <row r="7" customFormat="false" ht="15" hidden="false" customHeight="false" outlineLevel="0" collapsed="false">
      <c r="A7" s="24" t="s">
        <v>0</v>
      </c>
      <c r="B7" s="15"/>
      <c r="C7" s="25" t="str">
        <f aca="false">IFERROR(""&amp;INDEX(Dados!$A:$A,MATCH($B$4,Dados!$B$2:$B$103,0)+1),"")</f>
        <v>001/2026</v>
      </c>
      <c r="D7" s="25"/>
      <c r="E7" s="25"/>
      <c r="F7" s="25"/>
    </row>
    <row r="8" customFormat="false" ht="15" hidden="false" customHeight="false" outlineLevel="0" collapsed="false">
      <c r="A8" s="24" t="s">
        <v>126</v>
      </c>
      <c r="B8" s="15"/>
      <c r="C8" s="25" t="str">
        <f aca="false">IFERROR(""&amp;INDEX(Dados!$B:$B,MATCH($B$4,Dados!$B$2:$B$103,0)+1),"")</f>
        <v>João Manuel dos Santos</v>
      </c>
      <c r="D8" s="25"/>
      <c r="E8" s="25"/>
      <c r="F8" s="25"/>
    </row>
    <row r="9" customFormat="false" ht="15" hidden="false" customHeight="false" outlineLevel="0" collapsed="false">
      <c r="A9" s="24" t="s">
        <v>2</v>
      </c>
      <c r="B9" s="15"/>
      <c r="C9" s="25" t="str">
        <f aca="false">IFERROR(""&amp;INDEX(Dados!$C:$C,MATCH($B$4,Dados!$B$2:$B$103,0)+1),"")</f>
        <v>Manuel Santos</v>
      </c>
      <c r="D9" s="25"/>
      <c r="E9" s="25"/>
      <c r="F9" s="25"/>
    </row>
    <row r="10" customFormat="false" ht="15" hidden="false" customHeight="false" outlineLevel="0" collapsed="false">
      <c r="A10" s="24" t="s">
        <v>3</v>
      </c>
      <c r="B10" s="15"/>
      <c r="C10" s="25" t="str">
        <f aca="false">IFERROR(""&amp;INDEX(Dados!$D:$D,MATCH($B$4,Dados!$B$2:$B$103,0)+1),"")</f>
        <v>Ana Santos</v>
      </c>
      <c r="D10" s="25"/>
      <c r="E10" s="25"/>
      <c r="F10" s="25"/>
    </row>
    <row r="11" customFormat="false" ht="15" hidden="false" customHeight="false" outlineLevel="0" collapsed="false">
      <c r="A11" s="24" t="s">
        <v>4</v>
      </c>
      <c r="B11" s="15"/>
      <c r="C11" s="25" t="str">
        <f aca="false">IFERROR(""&amp;INDEX(Dados!$E:$E,MATCH($B$4,Dados!$B$2:$B$103,0)+1),"")</f>
        <v>003456789LA042</v>
      </c>
      <c r="D11" s="25"/>
      <c r="E11" s="25"/>
      <c r="F11" s="25"/>
    </row>
    <row r="12" customFormat="false" ht="15" hidden="false" customHeight="false" outlineLevel="0" collapsed="false">
      <c r="A12" s="24" t="s">
        <v>6</v>
      </c>
      <c r="B12" s="15"/>
      <c r="C12" s="25" t="str">
        <f aca="false">IFERROR(""&amp;INDEX(Dados!$G:$G,MATCH($B$4,Dados!$B$2:$B$103,0)+1),"")</f>
        <v>Rua 1, Cimangola</v>
      </c>
      <c r="D12" s="25"/>
      <c r="E12" s="25"/>
      <c r="F12" s="25"/>
    </row>
    <row r="13" customFormat="false" ht="15" hidden="false" customHeight="false" outlineLevel="0" collapsed="false">
      <c r="A13" s="24" t="s">
        <v>7</v>
      </c>
      <c r="B13" s="15"/>
      <c r="C13" s="25" t="str">
        <f aca="false">IFERROR(""&amp;INDEX(Dados!$H:$H,MATCH($B$4,Dados!$B$2:$B$103,0)+1),"")</f>
        <v>Luanda</v>
      </c>
      <c r="D13" s="25"/>
      <c r="E13" s="25"/>
      <c r="F13" s="25"/>
    </row>
    <row r="14" customFormat="false" ht="15" hidden="false" customHeight="false" outlineLevel="0" collapsed="false">
      <c r="A14" s="24" t="s">
        <v>8</v>
      </c>
      <c r="B14" s="15"/>
      <c r="C14" s="25" t="str">
        <f aca="false">IFERROR(""&amp;INDEX(Dados!$I:$I,MATCH($B$4,Dados!$B$2:$B$103,0)+1),"")</f>
        <v>Ngola Kiluange</v>
      </c>
      <c r="D14" s="25"/>
      <c r="E14" s="25"/>
      <c r="F14" s="25"/>
    </row>
    <row r="15" customFormat="false" ht="15" hidden="false" customHeight="false" outlineLevel="0" collapsed="false">
      <c r="A15" s="24" t="s">
        <v>127</v>
      </c>
      <c r="B15" s="15"/>
      <c r="C15" s="25" t="str">
        <f aca="false">IFERROR(""&amp;INDEX(Dados!$J:$J,MATCH($B$4,Dados!$B$2:$B$103,0)+1),"")</f>
        <v>Solteiro</v>
      </c>
      <c r="D15" s="25"/>
      <c r="E15" s="25"/>
      <c r="F15" s="25"/>
    </row>
    <row r="16" customFormat="false" ht="15" hidden="false" customHeight="false" outlineLevel="0" collapsed="false">
      <c r="A16" s="24" t="s">
        <v>10</v>
      </c>
      <c r="B16" s="15"/>
      <c r="C16" s="25" t="str">
        <f aca="false">IFERROR(""&amp;INDEX(Dados!$K:$K,MATCH($B$4,Dados!$B$2:$B$103,0)+1),"")</f>
        <v>923000001</v>
      </c>
      <c r="D16" s="25"/>
      <c r="E16" s="25"/>
      <c r="F16" s="25"/>
    </row>
    <row r="17" customFormat="false" ht="15" hidden="false" customHeight="false" outlineLevel="0" collapsed="false">
      <c r="A17" s="24" t="s">
        <v>11</v>
      </c>
      <c r="B17" s="15"/>
      <c r="C17" s="25" t="str">
        <f aca="false">IFERROR(""&amp;INDEX(Dados!$L:$L,MATCH($B$4,Dados!$B$2:$B$103,0)+1),"")</f>
        <v>923000001</v>
      </c>
      <c r="D17" s="25"/>
      <c r="E17" s="25"/>
      <c r="F17" s="25"/>
    </row>
    <row r="18" customFormat="false" ht="15" hidden="false" customHeight="false" outlineLevel="0" collapsed="false">
      <c r="A18" s="24" t="s">
        <v>12</v>
      </c>
      <c r="B18" s="15"/>
      <c r="C18" s="25" t="str">
        <f aca="false">IFERROR(""&amp;INDEX(Dados!$M:$M,MATCH($B$4,Dados!$B$2:$B$103,0)+1),"")</f>
        <v>923000002</v>
      </c>
      <c r="D18" s="25"/>
      <c r="E18" s="25"/>
      <c r="F18" s="25"/>
    </row>
    <row r="19" customFormat="false" ht="15" hidden="false" customHeight="false" outlineLevel="0" collapsed="false">
      <c r="A19" s="24" t="s">
        <v>128</v>
      </c>
      <c r="B19" s="15"/>
      <c r="C19" s="25" t="str">
        <f aca="false">IFERROR(""&amp;INDEX(Dados!$N:$N,MATCH($B$4,Dados!$B$2:$B$103,0)+1),"")</f>
        <v>2012-05-14</v>
      </c>
      <c r="D19" s="25"/>
      <c r="E19" s="25"/>
      <c r="F19" s="25"/>
    </row>
    <row r="20" customFormat="false" ht="15" hidden="false" customHeight="false" outlineLevel="0" collapsed="false">
      <c r="A20" s="24" t="s">
        <v>14</v>
      </c>
      <c r="B20" s="15"/>
      <c r="C20" s="25" t="str">
        <f aca="false">IFERROR(""&amp;INDEX(Dados!$O:$O,MATCH($B$4,Dados!$B$2:$B$103,0)+1),"")</f>
        <v>14</v>
      </c>
      <c r="D20" s="25"/>
      <c r="E20" s="25"/>
      <c r="F20" s="25"/>
    </row>
    <row r="22" customFormat="false" ht="21.75" hidden="false" customHeight="true" outlineLevel="0" collapsed="false">
      <c r="A22" s="9" t="s">
        <v>129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A23" s="24" t="s">
        <v>15</v>
      </c>
      <c r="B23" s="15"/>
      <c r="C23" s="25" t="str">
        <f aca="false">IFERROR(""&amp;INDEX(Dados!$P:$P,MATCH($B$4,Dados!$B$2:$B$103,0)+1),"")</f>
        <v>8ª Classe</v>
      </c>
      <c r="D23" s="25"/>
      <c r="E23" s="25"/>
      <c r="F23" s="25"/>
    </row>
    <row r="24" customFormat="false" ht="15" hidden="false" customHeight="false" outlineLevel="0" collapsed="false">
      <c r="A24" s="24" t="s">
        <v>16</v>
      </c>
      <c r="B24" s="15"/>
      <c r="C24" s="25" t="str">
        <f aca="false">IFERROR(""&amp;INDEX(Dados!$Q:$Q,MATCH($B$4,Dados!$B$2:$B$103,0)+1),"")</f>
        <v>Estudante</v>
      </c>
      <c r="D24" s="25"/>
      <c r="E24" s="25"/>
      <c r="F24" s="25"/>
    </row>
    <row r="25" customFormat="false" ht="15" hidden="false" customHeight="false" outlineLevel="0" collapsed="false">
      <c r="A25" s="24" t="s">
        <v>130</v>
      </c>
      <c r="B25" s="15"/>
      <c r="C25" s="25" t="str">
        <f aca="false">IFERROR(""&amp;INDEX(Dados!$R:$R,MATCH($B$4,Dados!$B$2:$B$103,0)+1),"")</f>
        <v>Escola nº 123</v>
      </c>
      <c r="D25" s="25"/>
      <c r="E25" s="25"/>
      <c r="F25" s="25"/>
    </row>
    <row r="26" customFormat="false" ht="15" hidden="false" customHeight="false" outlineLevel="0" collapsed="false">
      <c r="A26" s="24" t="s">
        <v>18</v>
      </c>
      <c r="B26" s="15"/>
      <c r="C26" s="25" t="str">
        <f aca="false">IFERROR(""&amp;INDEX(Dados!$S:$S,MATCH($B$4,Dados!$B$2:$B$103,0)+1),"")</f>
        <v>Futebol</v>
      </c>
      <c r="D26" s="25"/>
      <c r="E26" s="25"/>
      <c r="F26" s="25"/>
    </row>
    <row r="28" customFormat="false" ht="21.75" hidden="false" customHeight="true" outlineLevel="0" collapsed="false">
      <c r="A28" s="9" t="s">
        <v>131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24" t="s">
        <v>132</v>
      </c>
      <c r="B29" s="15"/>
      <c r="C29" s="25" t="str">
        <f aca="false">IFERROR(""&amp;INDEX(Dados!$T:$T,MATCH($B$4,Dados!$B$2:$B$103,0)+1),"")</f>
        <v>12/2024 - Luanda</v>
      </c>
      <c r="D29" s="25"/>
      <c r="E29" s="25"/>
      <c r="F29" s="25"/>
    </row>
    <row r="30" customFormat="false" ht="15" hidden="false" customHeight="false" outlineLevel="0" collapsed="false">
      <c r="A30" s="24" t="s">
        <v>20</v>
      </c>
      <c r="B30" s="15"/>
      <c r="C30" s="25" t="str">
        <f aca="false">IFERROR(""&amp;INDEX(Dados!$U:$U,MATCH($B$4,Dados!$B$2:$B$103,0)+1),"")</f>
        <v>Exploradores</v>
      </c>
      <c r="D30" s="25"/>
      <c r="E30" s="25"/>
      <c r="F30" s="25"/>
    </row>
    <row r="31" customFormat="false" ht="15" hidden="false" customHeight="false" outlineLevel="0" collapsed="false">
      <c r="A31" s="24" t="s">
        <v>21</v>
      </c>
      <c r="B31" s="15"/>
      <c r="C31" s="25" t="str">
        <f aca="false">IFERROR(""&amp;INDEX(Dados!$V:$V,MATCH($B$4,Dados!$B$2:$B$103,0)+1),"")</f>
        <v>Águia</v>
      </c>
      <c r="D31" s="25"/>
      <c r="E31" s="25"/>
      <c r="F31" s="25"/>
    </row>
    <row r="32" customFormat="false" ht="15" hidden="false" customHeight="false" outlineLevel="0" collapsed="false">
      <c r="A32" s="24" t="s">
        <v>22</v>
      </c>
      <c r="B32" s="15"/>
      <c r="C32" s="25" t="str">
        <f aca="false">IFERROR(""&amp;INDEX(Dados!$W:$W,MATCH($B$4,Dados!$B$2:$B$103,0)+1),"")</f>
        <v>Falcão</v>
      </c>
      <c r="D32" s="25"/>
      <c r="E32" s="25"/>
      <c r="F32" s="25"/>
    </row>
    <row r="33" customFormat="false" ht="15" hidden="false" customHeight="false" outlineLevel="0" collapsed="false">
      <c r="A33" s="24" t="s">
        <v>23</v>
      </c>
      <c r="B33" s="15"/>
      <c r="C33" s="25" t="str">
        <f aca="false">IFERROR(""&amp;INDEX(Dados!$X:$X,MATCH($B$4,Dados!$B$2:$B$103,0)+1),"")</f>
        <v/>
      </c>
      <c r="D33" s="25"/>
      <c r="E33" s="25"/>
      <c r="F33" s="25"/>
    </row>
    <row r="34" customFormat="false" ht="15" hidden="false" customHeight="false" outlineLevel="0" collapsed="false">
      <c r="A34" s="24" t="s">
        <v>24</v>
      </c>
      <c r="B34" s="15"/>
      <c r="C34" s="25" t="str">
        <f aca="false">IFERROR(""&amp;INDEX(Dados!$Y:$Y,MATCH($B$4,Dados!$B$2:$B$103,0)+1),"")</f>
        <v>Guia de Patrulha</v>
      </c>
      <c r="D34" s="25"/>
      <c r="E34" s="25"/>
      <c r="F34" s="25"/>
    </row>
    <row r="35" customFormat="false" ht="15" hidden="false" customHeight="false" outlineLevel="0" collapsed="false">
      <c r="A35" s="24" t="s">
        <v>25</v>
      </c>
      <c r="B35" s="15"/>
      <c r="C35" s="25" t="str">
        <f aca="false">IFERROR(""&amp;INDEX(Dados!$Z:$Z,MATCH($B$4,Dados!$B$2:$B$103,0)+1),"")</f>
        <v>Sim</v>
      </c>
      <c r="D35" s="25"/>
      <c r="E35" s="25"/>
      <c r="F35" s="25"/>
    </row>
    <row r="36" customFormat="false" ht="15" hidden="false" customHeight="false" outlineLevel="0" collapsed="false">
      <c r="A36" s="24" t="s">
        <v>27</v>
      </c>
      <c r="B36" s="15"/>
      <c r="C36" s="25" t="str">
        <f aca="false">IFERROR(""&amp;INDEX(Dados!$AB:$AB,MATCH($B$4,Dados!$B$2:$B$103,0)+1),"")</f>
        <v>Não</v>
      </c>
      <c r="D36" s="25"/>
      <c r="E36" s="25"/>
      <c r="F36" s="25"/>
    </row>
    <row r="37" customFormat="false" ht="15" hidden="false" customHeight="false" outlineLevel="0" collapsed="false">
      <c r="A37" s="24" t="s">
        <v>28</v>
      </c>
      <c r="B37" s="15"/>
      <c r="C37" s="25" t="str">
        <f aca="false">IFERROR(""&amp;INDEX(Dados!$AC:$AC,MATCH($B$4,Dados!$B$2:$B$103,0)+1),"")</f>
        <v/>
      </c>
      <c r="D37" s="25"/>
      <c r="E37" s="25"/>
      <c r="F37" s="25"/>
    </row>
    <row r="38" customFormat="false" ht="15" hidden="false" customHeight="false" outlineLevel="0" collapsed="false">
      <c r="A38" s="24" t="s">
        <v>29</v>
      </c>
      <c r="B38" s="15"/>
      <c r="C38" s="25" t="str">
        <f aca="false">IFERROR(""&amp;INDEX(Dados!$AD:$AD,MATCH($B$4,Dados!$B$2:$B$103,0)+1),"")</f>
        <v>Não</v>
      </c>
      <c r="D38" s="25"/>
      <c r="E38" s="25"/>
      <c r="F38" s="25"/>
    </row>
    <row r="39" customFormat="false" ht="15" hidden="false" customHeight="false" outlineLevel="0" collapsed="false">
      <c r="A39" s="24" t="s">
        <v>30</v>
      </c>
      <c r="B39" s="15"/>
      <c r="C39" s="25" t="str">
        <f aca="false">IFERROR(""&amp;INDEX(Dados!$AE:$AE,MATCH($B$4,Dados!$B$2:$B$103,0)+1),"")</f>
        <v/>
      </c>
      <c r="D39" s="25"/>
      <c r="E39" s="25"/>
      <c r="F39" s="25"/>
    </row>
    <row r="40" customFormat="false" ht="15" hidden="false" customHeight="false" outlineLevel="0" collapsed="false">
      <c r="A40" s="24" t="s">
        <v>31</v>
      </c>
      <c r="B40" s="15"/>
      <c r="C40" s="25" t="str">
        <f aca="false">IFERROR(""&amp;INDEX(Dados!$AF:$AF,MATCH($B$4,Dados!$B$2:$B$103,0)+1),"")</f>
        <v>Não</v>
      </c>
      <c r="D40" s="25"/>
      <c r="E40" s="25"/>
      <c r="F40" s="25"/>
    </row>
    <row r="41" customFormat="false" ht="15" hidden="false" customHeight="false" outlineLevel="0" collapsed="false">
      <c r="A41" s="24" t="s">
        <v>32</v>
      </c>
      <c r="B41" s="15"/>
      <c r="C41" s="25" t="str">
        <f aca="false">IFERROR(""&amp;INDEX(Dados!$AG:$AG,MATCH($B$4,Dados!$B$2:$B$103,0)+1),"")</f>
        <v/>
      </c>
      <c r="D41" s="25"/>
      <c r="E41" s="25"/>
      <c r="F41" s="25"/>
    </row>
    <row r="43" customFormat="false" ht="15" hidden="false" customHeight="false" outlineLevel="0" collapsed="false">
      <c r="A43" s="6" t="s">
        <v>133</v>
      </c>
      <c r="B43" s="6"/>
      <c r="C43" s="6"/>
      <c r="D43" s="6"/>
      <c r="E43" s="6"/>
      <c r="F43" s="6"/>
    </row>
  </sheetData>
  <mergeCells count="37">
    <mergeCell ref="A1:F2"/>
    <mergeCell ref="B4:D4"/>
    <mergeCell ref="A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2:F22"/>
    <mergeCell ref="C23:F23"/>
    <mergeCell ref="C24:F24"/>
    <mergeCell ref="C25:F25"/>
    <mergeCell ref="C26:F26"/>
    <mergeCell ref="A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A43:F43"/>
  </mergeCells>
  <dataValidations count="1">
    <dataValidation allowBlank="true" errorStyle="stop" operator="between" showDropDown="false" showErrorMessage="false" showInputMessage="false" sqref="B4" type="list">
      <formula1>Dados!$B$2:$B$103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2026-08-29T01:17:01Z</dcterms:created>
  <dc:creator>openpyxl</dc:creator>
  <dc:description/>
  <dc:language>en-US</dc:language>
  <cp:lastModifiedBy/>
  <dcterms:modified xsi:type="dcterms:W3CDTF">2026-08-29T01:17:03Z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