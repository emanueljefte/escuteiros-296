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  <sheet name="Dashboard" sheetId="2" state="visible" r:id="rId4"/>
  </sheets>
  <definedNames>
    <definedName function="false" hidden="false" localSheetId="0" name="_xlnm.Print_Area" vbProcedure="false">Dados!$A$1:$AH$102</definedName>
    <definedName function="false" hidden="false" localSheetId="1" name="_xlnm.Print_Area" vbProcedure="false">Dashboard!$A$1:$F$35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<sst xmlns="http://schemas.openxmlformats.org/spreadsheetml/2006/main" count="112" uniqueCount="91">
  <si>
    <t xml:space="preserve">Nº Inscrição</t>
  </si>
  <si>
    <t xml:space="preserve">Nome completo</t>
  </si>
  <si>
    <t xml:space="preserve">Filho de</t>
  </si>
  <si>
    <t xml:space="preserve">E de</t>
  </si>
  <si>
    <t xml:space="preserve">B.I. Nº</t>
  </si>
  <si>
    <t xml:space="preserve">Cédula Nº</t>
  </si>
  <si>
    <t xml:space="preserve">Morada</t>
  </si>
  <si>
    <t xml:space="preserve">Província</t>
  </si>
  <si>
    <t xml:space="preserve">Município</t>
  </si>
  <si>
    <t xml:space="preserve">Estado civil</t>
  </si>
  <si>
    <t xml:space="preserve">Telefone</t>
  </si>
  <si>
    <t xml:space="preserve">WhatsApp</t>
  </si>
  <si>
    <t xml:space="preserve">Contacto Encarregado</t>
  </si>
  <si>
    <t xml:space="preserve">Data Nascimento</t>
  </si>
  <si>
    <t xml:space="preserve">Habilitação Literária</t>
  </si>
  <si>
    <t xml:space="preserve">Profissão</t>
  </si>
  <si>
    <t xml:space="preserve">Escola/Local Trabalho</t>
  </si>
  <si>
    <t xml:space="preserve">Outras Habilidades</t>
  </si>
  <si>
    <t xml:space="preserve">Data/Local Investidura</t>
  </si>
  <si>
    <t xml:space="preserve">Secção</t>
  </si>
  <si>
    <t xml:space="preserve">Bando</t>
  </si>
  <si>
    <t xml:space="preserve">Patrulha</t>
  </si>
  <si>
    <t xml:space="preserve">Equipe</t>
  </si>
  <si>
    <t xml:space="preserve">Cargo</t>
  </si>
  <si>
    <t xml:space="preserve">Baptizado</t>
  </si>
  <si>
    <t xml:space="preserve">Baptizado - Detalhe</t>
  </si>
  <si>
    <t xml:space="preserve">Doença</t>
  </si>
  <si>
    <t xml:space="preserve">Doença - Qual</t>
  </si>
  <si>
    <t xml:space="preserve">Alergia</t>
  </si>
  <si>
    <t xml:space="preserve">Alergia - Qual</t>
  </si>
  <si>
    <t xml:space="preserve">Deficiência</t>
  </si>
  <si>
    <t xml:space="preserve">Deficiência - Qual</t>
  </si>
  <si>
    <t xml:space="preserve">Termo Aceite</t>
  </si>
  <si>
    <t xml:space="preserve">Data Inscrição</t>
  </si>
  <si>
    <t xml:space="preserve">001/2026</t>
  </si>
  <si>
    <t xml:space="preserve">João Manuel dos Santos</t>
  </si>
  <si>
    <t xml:space="preserve">Manuel Santos</t>
  </si>
  <si>
    <t xml:space="preserve">Ana Santos</t>
  </si>
  <si>
    <t xml:space="preserve">003456789LA042</t>
  </si>
  <si>
    <t xml:space="preserve">Rua 1, Cimangola</t>
  </si>
  <si>
    <t xml:space="preserve">Luanda</t>
  </si>
  <si>
    <t xml:space="preserve">Ngola Kiluange</t>
  </si>
  <si>
    <t xml:space="preserve">Solteiro</t>
  </si>
  <si>
    <t xml:space="preserve">923000001</t>
  </si>
  <si>
    <t xml:space="preserve">923000002</t>
  </si>
  <si>
    <t xml:space="preserve">2012-05-14</t>
  </si>
  <si>
    <t xml:space="preserve">8ª Classe</t>
  </si>
  <si>
    <t xml:space="preserve">Estudante</t>
  </si>
  <si>
    <t xml:space="preserve">Escola nº 123</t>
  </si>
  <si>
    <t xml:space="preserve">Futebol</t>
  </si>
  <si>
    <t xml:space="preserve">12/2024 - Luanda</t>
  </si>
  <si>
    <t xml:space="preserve">Exploradores</t>
  </si>
  <si>
    <t xml:space="preserve">Águia</t>
  </si>
  <si>
    <t xml:space="preserve">Falcão</t>
  </si>
  <si>
    <t xml:space="preserve">Guia de Patrulha</t>
  </si>
  <si>
    <t xml:space="preserve">Sim</t>
  </si>
  <si>
    <t xml:space="preserve">Não</t>
  </si>
  <si>
    <t xml:space="preserve">2026-08-31</t>
  </si>
  <si>
    <t xml:space="preserve">002/2026</t>
  </si>
  <si>
    <t xml:space="preserve">Maria Fernanda Pedro</t>
  </si>
  <si>
    <t xml:space="preserve">José Pedro</t>
  </si>
  <si>
    <t xml:space="preserve">Luísa Pedro</t>
  </si>
  <si>
    <t xml:space="preserve">003457890LA043</t>
  </si>
  <si>
    <t xml:space="preserve">Rua 5, Cimangola</t>
  </si>
  <si>
    <t xml:space="preserve">923000003</t>
  </si>
  <si>
    <t xml:space="preserve">923000004</t>
  </si>
  <si>
    <t xml:space="preserve">2011-11-02</t>
  </si>
  <si>
    <t xml:space="preserve">9ª Classe</t>
  </si>
  <si>
    <t xml:space="preserve">Escola nº 45</t>
  </si>
  <si>
    <t xml:space="preserve">Voleibol</t>
  </si>
  <si>
    <t xml:space="preserve">01/2025 - Luanda</t>
  </si>
  <si>
    <t xml:space="preserve">Leão</t>
  </si>
  <si>
    <t xml:space="preserve">Pantera</t>
  </si>
  <si>
    <t xml:space="preserve">Escuteiro</t>
  </si>
  <si>
    <t xml:space="preserve">Asma</t>
  </si>
  <si>
    <t xml:space="preserve">Linhas a amarelo (2-3) são EXEMPLO — substituir ou importar os dados reais do Supabase abaixo.</t>
  </si>
  <si>
    <t xml:space="preserve">Dashboard — Cadastramento Agrupamento 296</t>
  </si>
  <si>
    <t xml:space="preserve">Total de Inscritos</t>
  </si>
  <si>
    <t xml:space="preserve">Com Doença Registada</t>
  </si>
  <si>
    <t xml:space="preserve">Com Alergia Registada</t>
  </si>
  <si>
    <t xml:space="preserve">Por Secção</t>
  </si>
  <si>
    <t xml:space="preserve">Por Município</t>
  </si>
  <si>
    <t xml:space="preserve">Total</t>
  </si>
  <si>
    <t xml:space="preserve">Alcateia</t>
  </si>
  <si>
    <t xml:space="preserve">Cazenga</t>
  </si>
  <si>
    <t xml:space="preserve">Pioneiros</t>
  </si>
  <si>
    <t xml:space="preserve">Viana</t>
  </si>
  <si>
    <t xml:space="preserve">Caminheiros</t>
  </si>
  <si>
    <t xml:space="preserve">Kilamba Kiaxi</t>
  </si>
  <si>
    <t xml:space="preserve">Talatona</t>
  </si>
  <si>
    <t xml:space="preserve">Nota: as listas de Secção e Município acima são de referência — ajuste conforme os dados reais introduzidos na folha 'Dados'.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</si>
</sst>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Inscritos por Secção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Dashboard!$A$9:$A$12</c:f>
              <c:strCache>
                <c:ptCount val="4"/>
                <c:pt idx="0">
                  <c:v>Alcateia</c:v>
                </c:pt>
                <c:pt idx="1">
                  <c:v>Exploradores</c:v>
                </c:pt>
                <c:pt idx="2">
                  <c:v>Pioneiros</c:v>
                </c:pt>
                <c:pt idx="3">
                  <c:v>Caminheiros</c:v>
                </c:pt>
              </c:strCache>
            </c:strRef>
          </c:cat>
          <c:val>
            <c:numRef>
              <c:f>Dashboard!$B$9:$B$12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60552108"/>
        <c:axId val="48625167"/>
      </c:barChart>
      <c:catAx>
        <c:axId val="605521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25167"/>
        <c:crosses val="autoZero"/>
        <c:auto val="1"/>
        <c:lblAlgn val="ctr"/>
        <c:lblOffset val="100"/>
        <c:noMultiLvlLbl val="0"/>
      </c:catAx>
      <c:valAx>
        <c:axId val="486251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521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Inscritos por Município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Dashboard!E8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Dashboard!$D$9:$D$13</c:f>
              <c:strCache>
                <c:ptCount val="5"/>
                <c:pt idx="0">
                  <c:v>Ngola Kiluange</c:v>
                </c:pt>
                <c:pt idx="1">
                  <c:v>Cazenga</c:v>
                </c:pt>
                <c:pt idx="2">
                  <c:v>Viana</c:v>
                </c:pt>
                <c:pt idx="3">
                  <c:v>Kilamba Kiaxi</c:v>
                </c:pt>
                <c:pt idx="4">
                  <c:v>Talatona</c:v>
                </c:pt>
              </c:strCache>
            </c:strRef>
          </c:cat>
          <c:val>
            <c:numRef>
              <c:f>Dashboard!$E$9:$E$13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131040</xdr:rowOff>
    </xdr:from>
    <xdr:to>
      <xdr:col>3</xdr:col>
      <xdr:colOff>888840</xdr:colOff>
      <xdr:row>26</xdr:row>
      <xdr:rowOff>174240</xdr:rowOff>
    </xdr:to>
    <xdr:graphicFrame>
      <xdr:nvGraphicFramePr>
        <xdr:cNvPr id="0" name="Chart 1"/>
        <xdr:cNvGraphicFramePr/>
      </xdr:nvGraphicFramePr>
      <xdr:xfrm>
        <a:off x="0" y="28386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13</xdr:row>
      <xdr:rowOff>131040</xdr:rowOff>
    </xdr:from>
    <xdr:to>
      <xdr:col>7</xdr:col>
      <xdr:colOff>277200</xdr:colOff>
      <xdr:row>26</xdr:row>
      <xdr:rowOff>174240</xdr:rowOff>
    </xdr:to>
    <xdr:graphicFrame>
      <xdr:nvGraphicFramePr>
        <xdr:cNvPr id="1" name="Chart 2"/>
        <xdr:cNvGraphicFramePr/>
      </xdr:nvGraphicFramePr>
      <xdr:xfrm>
        <a:off x="3430800" y="28386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9" min="8" style="0" width="14"/>
    <col collapsed="false" customWidth="true" hidden="false" outlineLevel="0" max="12" min="10" style="0" width="12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20"/>
    <col collapsed="false" customWidth="true" hidden="false" outlineLevel="0" max="16" min="16" style="0" width="16"/>
    <col collapsed="false" customWidth="true" hidden="false" outlineLevel="0" max="17" min="17" style="0" width="20"/>
    <col collapsed="false" customWidth="true" hidden="false" outlineLevel="0" max="19" min="18" style="0" width="22"/>
    <col collapsed="false" customWidth="true" hidden="false" outlineLevel="0" max="20" min="20" style="0" width="12"/>
    <col collapsed="false" customWidth="true" hidden="false" outlineLevel="0" max="21" min="21" style="0" width="10"/>
    <col collapsed="false" customWidth="true" hidden="false" outlineLevel="0" max="23" min="22" style="0" width="12"/>
    <col collapsed="false" customWidth="true" hidden="false" outlineLevel="0" max="24" min="24" style="0" width="16"/>
    <col collapsed="false" customWidth="true" hidden="false" outlineLevel="0" max="25" min="25" style="0" width="10"/>
    <col collapsed="false" customWidth="true" hidden="false" outlineLevel="0" max="26" min="26" style="0" width="18"/>
    <col collapsed="false" customWidth="true" hidden="false" outlineLevel="0" max="27" min="27" style="0" width="10"/>
    <col collapsed="false" customWidth="true" hidden="false" outlineLevel="0" max="28" min="28" style="0" width="18"/>
    <col collapsed="false" customWidth="true" hidden="false" outlineLevel="0" max="29" min="29" style="0" width="10"/>
    <col collapsed="false" customWidth="true" hidden="false" outlineLevel="0" max="30" min="30" style="0" width="18"/>
    <col collapsed="false" customWidth="true" hidden="false" outlineLevel="0" max="31" min="31" style="0" width="12"/>
    <col collapsed="false" customWidth="true" hidden="false" outlineLevel="0" max="32" min="32" style="0" width="18"/>
    <col collapsed="false" customWidth="true" hidden="false" outlineLevel="0" max="33" min="33" style="0" width="12"/>
    <col collapsed="false" customWidth="true" hidden="false" outlineLevel="0" max="34" min="34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5" hidden="false" customHeight="false" outlineLevel="0" collapsed="false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/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/>
      <c r="X2" s="2" t="s">
        <v>54</v>
      </c>
      <c r="Y2" s="2" t="s">
        <v>55</v>
      </c>
      <c r="Z2" s="2"/>
      <c r="AA2" s="2" t="s">
        <v>56</v>
      </c>
      <c r="AB2" s="2"/>
      <c r="AC2" s="2" t="s">
        <v>56</v>
      </c>
      <c r="AD2" s="2"/>
      <c r="AE2" s="2" t="s">
        <v>56</v>
      </c>
      <c r="AF2" s="2"/>
      <c r="AG2" s="2" t="s">
        <v>55</v>
      </c>
      <c r="AH2" s="2" t="s">
        <v>57</v>
      </c>
    </row>
    <row r="3" customFormat="false" ht="15" hidden="false" customHeight="false" outlineLevel="0" collapsed="false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/>
      <c r="G3" s="2" t="s">
        <v>63</v>
      </c>
      <c r="H3" s="2" t="s">
        <v>40</v>
      </c>
      <c r="I3" s="2" t="s">
        <v>41</v>
      </c>
      <c r="J3" s="2" t="s">
        <v>42</v>
      </c>
      <c r="K3" s="2" t="s">
        <v>64</v>
      </c>
      <c r="L3" s="2" t="s">
        <v>64</v>
      </c>
      <c r="M3" s="2" t="s">
        <v>65</v>
      </c>
      <c r="N3" s="2" t="s">
        <v>66</v>
      </c>
      <c r="O3" s="2" t="s">
        <v>67</v>
      </c>
      <c r="P3" s="2" t="s">
        <v>47</v>
      </c>
      <c r="Q3" s="2" t="s">
        <v>68</v>
      </c>
      <c r="R3" s="2" t="s">
        <v>69</v>
      </c>
      <c r="S3" s="2" t="s">
        <v>70</v>
      </c>
      <c r="T3" s="2" t="s">
        <v>51</v>
      </c>
      <c r="U3" s="2" t="s">
        <v>71</v>
      </c>
      <c r="V3" s="2" t="s">
        <v>72</v>
      </c>
      <c r="W3" s="2"/>
      <c r="X3" s="2" t="s">
        <v>73</v>
      </c>
      <c r="Y3" s="2" t="s">
        <v>55</v>
      </c>
      <c r="Z3" s="2"/>
      <c r="AA3" s="2" t="s">
        <v>55</v>
      </c>
      <c r="AB3" s="2" t="s">
        <v>74</v>
      </c>
      <c r="AC3" s="2" t="s">
        <v>56</v>
      </c>
      <c r="AD3" s="2"/>
      <c r="AE3" s="2" t="s">
        <v>56</v>
      </c>
      <c r="AF3" s="2"/>
      <c r="AG3" s="2" t="s">
        <v>55</v>
      </c>
      <c r="AH3" s="2" t="s">
        <v>57</v>
      </c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5" customFormat="false" ht="15" hidden="false" customHeight="false" outlineLevel="0" collapsed="false">
      <c r="A105" s="4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5" min="4" style="0" width="20"/>
  </cols>
  <sheetData>
    <row r="1" customFormat="false" ht="19.7" hidden="false" customHeight="false" outlineLevel="0" collapsed="false">
      <c r="A1" s="5" t="s">
        <v>76</v>
      </c>
      <c r="B1" s="5"/>
      <c r="C1" s="5"/>
      <c r="D1" s="5"/>
      <c r="E1" s="5"/>
      <c r="F1" s="5"/>
    </row>
    <row r="3" customFormat="false" ht="15.75" hidden="false" customHeight="true" outlineLevel="0" collapsed="false">
      <c r="A3" s="6" t="s">
        <v>77</v>
      </c>
      <c r="B3" s="6"/>
      <c r="C3" s="6" t="s">
        <v>78</v>
      </c>
      <c r="D3" s="6"/>
      <c r="E3" s="6" t="s">
        <v>79</v>
      </c>
      <c r="F3" s="6"/>
    </row>
    <row r="4" customFormat="false" ht="27.75" hidden="false" customHeight="true" outlineLevel="0" collapsed="false">
      <c r="A4" s="7" t="n">
        <f aca="false">COUNTA(Dados!$B$2:$B$102)</f>
        <v>2</v>
      </c>
      <c r="B4" s="7"/>
      <c r="C4" s="7" t="n">
        <f aca="false">COUNTIF(Dados!$AA$2:$AA$102,"Sim")</f>
        <v>1</v>
      </c>
      <c r="D4" s="7"/>
      <c r="E4" s="7" t="n">
        <f aca="false">COUNTIF(Dados!$AC$2:$AC$102,"Sim")</f>
        <v>0</v>
      </c>
      <c r="F4" s="7"/>
    </row>
    <row r="7" customFormat="false" ht="15" hidden="false" customHeight="false" outlineLevel="0" collapsed="false">
      <c r="A7" s="8" t="s">
        <v>80</v>
      </c>
      <c r="D7" s="8" t="s">
        <v>81</v>
      </c>
    </row>
    <row r="8" customFormat="false" ht="15" hidden="false" customHeight="false" outlineLevel="0" collapsed="false">
      <c r="A8" s="9" t="s">
        <v>19</v>
      </c>
      <c r="B8" s="9" t="s">
        <v>82</v>
      </c>
      <c r="D8" s="9" t="s">
        <v>8</v>
      </c>
      <c r="E8" s="9" t="s">
        <v>82</v>
      </c>
    </row>
    <row r="9" customFormat="false" ht="15" hidden="false" customHeight="false" outlineLevel="0" collapsed="false">
      <c r="A9" s="0" t="s">
        <v>83</v>
      </c>
      <c r="B9" s="0" t="n">
        <f aca="false">COUNTIF(Dados!$T$2:$T$102,$A9)</f>
        <v>0</v>
      </c>
      <c r="D9" s="0" t="s">
        <v>41</v>
      </c>
      <c r="E9" s="0" t="n">
        <f aca="false">COUNTIF(Dados!$I$2:$I$102,$D9)</f>
        <v>2</v>
      </c>
    </row>
    <row r="10" customFormat="false" ht="15" hidden="false" customHeight="false" outlineLevel="0" collapsed="false">
      <c r="A10" s="0" t="s">
        <v>51</v>
      </c>
      <c r="B10" s="0" t="n">
        <f aca="false">COUNTIF(Dados!$T$2:$T$102,$A10)</f>
        <v>2</v>
      </c>
      <c r="D10" s="0" t="s">
        <v>84</v>
      </c>
      <c r="E10" s="0" t="n">
        <f aca="false">COUNTIF(Dados!$I$2:$I$102,$D10)</f>
        <v>0</v>
      </c>
    </row>
    <row r="11" customFormat="false" ht="15" hidden="false" customHeight="false" outlineLevel="0" collapsed="false">
      <c r="A11" s="0" t="s">
        <v>85</v>
      </c>
      <c r="B11" s="0" t="n">
        <f aca="false">COUNTIF(Dados!$T$2:$T$102,$A11)</f>
        <v>0</v>
      </c>
      <c r="D11" s="0" t="s">
        <v>86</v>
      </c>
      <c r="E11" s="0" t="n">
        <f aca="false">COUNTIF(Dados!$I$2:$I$102,$D11)</f>
        <v>0</v>
      </c>
    </row>
    <row r="12" customFormat="false" ht="15" hidden="false" customHeight="false" outlineLevel="0" collapsed="false">
      <c r="A12" s="0" t="s">
        <v>87</v>
      </c>
      <c r="B12" s="0" t="n">
        <f aca="false">COUNTIF(Dados!$T$2:$T$102,$A12)</f>
        <v>0</v>
      </c>
      <c r="D12" s="0" t="s">
        <v>88</v>
      </c>
      <c r="E12" s="0" t="n">
        <f aca="false">COUNTIF(Dados!$I$2:$I$102,$D12)</f>
        <v>0</v>
      </c>
    </row>
    <row r="13" customFormat="false" ht="15" hidden="false" customHeight="false" outlineLevel="0" collapsed="false">
      <c r="D13" s="0" t="s">
        <v>89</v>
      </c>
      <c r="E13" s="0" t="n">
        <f aca="false">COUNTIF(Dados!$I$2:$I$102,$D13)</f>
        <v>0</v>
      </c>
    </row>
    <row r="33" customFormat="false" ht="15" hidden="false" customHeight="false" outlineLevel="0" collapsed="false">
      <c r="A33" s="10" t="s">
        <v>90</v>
      </c>
      <c r="B33" s="10"/>
      <c r="C33" s="10"/>
      <c r="D33" s="10"/>
      <c r="E33" s="10"/>
      <c r="F33" s="10"/>
    </row>
  </sheetData>
  <mergeCells count="8">
    <mergeCell ref="A1:F1"/>
    <mergeCell ref="A3:B3"/>
    <mergeCell ref="C3:D3"/>
    <mergeCell ref="E3:F3"/>
    <mergeCell ref="A4:B4"/>
    <mergeCell ref="C4:D4"/>
    <mergeCell ref="E4:F4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2026-08-27T18:11:19Z</dcterms:created>
  <dc:creator>openpyxl</dc:creator>
  <dc:description/>
  <dc:language>en-US</dc:language>
  <cp:lastModifiedBy/>
  <dcterms:modified xsi:type="dcterms:W3CDTF">2026-08-27T18:11:21Z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